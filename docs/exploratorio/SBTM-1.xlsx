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 SBTM" sheetId="1" r:id="rId5"/>
    <sheet state="visible" name="Hallazgos" sheetId="2" r:id="rId6"/>
  </sheets>
  <definedNames/>
  <calcPr/>
</workbook>
</file>

<file path=xl/sharedStrings.xml><?xml version="1.0" encoding="utf-8"?>
<sst xmlns="http://schemas.openxmlformats.org/spreadsheetml/2006/main" count="145" uniqueCount="98">
  <si>
    <t>HZ-1</t>
  </si>
  <si>
    <t>Hora</t>
  </si>
  <si>
    <t>Permite ingresar horas no válidas en día sábado</t>
  </si>
  <si>
    <t>HZ-2</t>
  </si>
  <si>
    <t>Permite que un paciente tenga dos horas de especialidad el mismo día</t>
  </si>
  <si>
    <t>HZ-3</t>
  </si>
  <si>
    <t>Solo permite modificar horas con estado BORRADOR o CONFIRMADA</t>
  </si>
  <si>
    <t>HZ-4</t>
  </si>
  <si>
    <t>Si una hora está en espera por conflicto de horario esta no cambia de estado al hacer PATCH y quitar el conflicto</t>
  </si>
  <si>
    <t>Tipo (S/E/B)</t>
  </si>
  <si>
    <t>Acción (curl)</t>
  </si>
  <si>
    <t>HZ-5</t>
  </si>
  <si>
    <t>Cambiar la hora a el mismo día no aumenta el número de modificaciones</t>
  </si>
  <si>
    <t>HZ-6</t>
  </si>
  <si>
    <t>Resultado (HTTP)</t>
  </si>
  <si>
    <t>Permite tener 4 reservas activas</t>
  </si>
  <si>
    <t>Comentario</t>
  </si>
  <si>
    <t>Minutos</t>
  </si>
  <si>
    <t>Setup</t>
  </si>
  <si>
    <t>Preparando las cosas</t>
  </si>
  <si>
    <t>Leyendo el swagger</t>
  </si>
  <si>
    <t>Ejecucion</t>
  </si>
  <si>
    <t>curl -s -X POST $B/api/pacientes $H -d '{"rut":"21.111.111-1","nombre":"Prueba Uno","fechaNacimiento":"1990-05-10","prevision":"FONASA","tramoFonasa":"B","convenioEmpresa":false}'</t>
  </si>
  <si>
    <t>{"rut":"21.111.111-1","nombre":"Prueba Uno","fechaNacimiento":"1990-05-10","prevision":"FONASA","tramoFonasa":"B","convenioEmpresa":false}</t>
  </si>
  <si>
    <t>curl -s -X POST $B/api/reservas $H -d '{"rutPaciente":"21.111.111-1","especialidad":"MEDICINA_GENERAL","fechaHoraAtencion":"2026-10-13T10:00:00","canal":"WEB","aceptaListaEspera":false}'</t>
  </si>
  <si>
    <t>{"id":1,"rutPaciente":"21.111.111-1","especialidad":"MEDICINA_GENERAL","fechaHoraAtencion":"2026-10-13T10:00:00","canal":"WEB","estado":"BORRADOR","arancelBruto":25000,"copago":2500,"multa":0,"modificaciones":0}</t>
  </si>
  <si>
    <t>curl -s -X PATCH $B/api/reservas/1 $H -d '{"fechaHoraAtencion":"2026-10-11T10:00:00"}'</t>
  </si>
  <si>
    <t>{"codigo":"RES-01-DIA","mensaje":"No se atiende los domingos.","estado":400,"ruta":"/api/reservas/1","instante":"2026-10-07T21:09:54.1640543"}</t>
  </si>
  <si>
    <t>Revision manual en frontend. fecha no cambió</t>
  </si>
  <si>
    <t>curl -s -X PATCH $B/api/reservas/1 $H -d '{"fechaHoraAtencion":"2026-10-10T15:00:00"}'</t>
  </si>
  <si>
    <t>{"id":1,"rutPaciente":"21.111.111-1","especialidad":"MEDICINA_GENERAL","fechaHoraAtencion":"2026-10-10T15:00:00","canal":"WEB","estado":"BORRADOR","arancelBruto":28750,"copago":2875,"multa":0,"modificaciones":1}</t>
  </si>
  <si>
    <t>Cambio la hora. no es correcto</t>
  </si>
  <si>
    <t>Investigacion</t>
  </si>
  <si>
    <t>curl -s -X PATCH $B/api/reservas/1 $H -d '{"fechaHoraAtencion":"2026-10-10T16:00:00"}'</t>
  </si>
  <si>
    <t>{"id":1,"rutPaciente":"21.111.111-1","especialidad":"MEDICINA_GENERAL","fechaHoraAtencion":"2026-10-10T16:00:00","canal":"WEB","estado":"BORRADOR","arancelBruto":28750,"copago":2875,"multa":0,"modificaciones":1}</t>
  </si>
  <si>
    <t>Sigue cambiando la hora</t>
  </si>
  <si>
    <t>curl -s -X PATCH $B/api/reservas/1 $H -d '{"fechaHoraAtencion":"2026-10-10T18:00:00"}'</t>
  </si>
  <si>
    <t>{"codigo":"RES-01-HORARIO","mensaje":"Fuera del horario de atención.","estado":400,"ruta":"/api/reservas/1","instante":"2026-10-07T21:14:21.3988177"}</t>
  </si>
  <si>
    <t>curl -s -X PATCH $B/api/reservas/1 $H -d '{"fechaHoraAtencion":"2026-10-10T17:00:00"}'</t>
  </si>
  <si>
    <t>{"id":1,"rutPaciente":"21.111.111-1","especialidad":"MEDICINA_GENERAL","fechaHoraAtencion":"2026-10-10T17:00:00","canal":"WEB","estado":"BORRADOR","arancelBruto":28750,"copago":2875,"multa":0,"modificaciones":1}</t>
  </si>
  <si>
    <t>Aún permite el cambio</t>
  </si>
  <si>
    <t>curl -s -X PATCH $B/api/reservas/1 $H -d '{"fechaHoraAtencion":"2026-10-09T08:00:00"}'</t>
  </si>
  <si>
    <t>{"id":1,"rutPaciente":"21.111.111-1","especialidad":"MEDICINA_GENERAL","fechaHoraAtencion":"2026-10-09T08:00:00","canal":"WEB","estado":"BORRADOR","arancelBruto":25000,"copago":2500,"multa":0,"modificaciones":2}</t>
  </si>
  <si>
    <t>curl -s -X PATCH $B/api/reservas/1 $H -d '{"fechaHoraAtencion":"2026-10-09T07:40:00"}'</t>
  </si>
  <si>
    <t>{"codigo":"RES-01-HORARIO","mensaje":"Fuera del horario de atención.","estado":400,"ruta":"/api/reservas/1","instante":"2026-10-07T21:16:22.7037685"}</t>
  </si>
  <si>
    <t>No permite ingresar antes de las 8 AM</t>
  </si>
  <si>
    <t>curl -s -X PATCH $B/api/reservas/1 $H -d '{"fechaHoraAtencion":"2026-10-09T08:05:00"}'</t>
  </si>
  <si>
    <t>{"codigo":"RES-01-BLOQUE","mensaje":"La atención debe comenzar en un bloque de 20 minutos.","estado":400,"ruta":"/api/reservas/1","instante":"2026-10-07T21:17:10.3710347"}</t>
  </si>
  <si>
    <t>Revisa el bloque de 20 minutos</t>
  </si>
  <si>
    <t>curl -s -X PATCH $B/api/reservas/1 $H -d '{"fechaHoraAtencion":"2026-10-09T08:20:00"}'</t>
  </si>
  <si>
    <t>{"codigo":"RES-09-TOPE","mensaje":"La reserva alcanzó el máximo de 2 modificaciones. Debe anularla y crear una nueva.","estado":409,"ruta":"/api/reservas/1","instante":"2026-10-07T21:18:26.855865"}</t>
  </si>
  <si>
    <t>{"id":2,"rutPaciente":"21.111.111-1","especialidad":"MEDICINA_GENERAL","fechaHoraAtencion":"2026-10-13T10:00:00","canal":"WEB","estado":"BORRADOR","arancelBruto":25000,"copago":2500,"multa":0,"modificaciones":0}</t>
  </si>
  <si>
    <t>Anular reserva en frontend</t>
  </si>
  <si>
    <t>Reserva anulada sin costo</t>
  </si>
  <si>
    <t>Cambiar reserva nueva a Sabado 10, 4 PM</t>
  </si>
  <si>
    <t>Hora cambiada sin problemas</t>
  </si>
  <si>
    <t>curl -s -X PATCH $B/api/reservas/2 $H -d '{"fechaHoraAtencion":"2026-10-09T12:00:00"}'</t>
  </si>
  <si>
    <t>{"id":2,"rutPaciente":"21.111.111-1","especialidad":"MEDICINA_GENERAL","fechaHoraAtencion":"2026-10-09T12:00:00","canal":"WEB","estado":"BORRADOR","arancelBruto":25000,"copago":2500,"multa":0,"modificaciones":2}</t>
  </si>
  <si>
    <t>{"id":3,"rutPaciente":"21.111.111-1","especialidad":"MEDICINA_GENERAL","fechaHoraAtencion":"2026-10-13T10:00:00","canal":"WEB","estado":"BORRADOR","arancelBruto":25000,"copago":2500,"multa":0,"modificaciones":0}</t>
  </si>
  <si>
    <t>curl -s -X PATCH $B/api/reservas/3 $H -d '{"fechaHoraAtencion":"2026-10-09T15:00:00"}'</t>
  </si>
  <si>
    <t>{"id":3,"rutPaciente":"21.111.111-1","especialidad":"MEDICINA_GENERAL","fechaHoraAtencion":"2026-10-09T15:00:00","canal":"WEB","estado":"BORRADOR","arancelBruto":25000,"copago":2500,"multa":0,"modificaciones":1}</t>
  </si>
  <si>
    <t>Paciente tiene dos horas de la misma especialidad al mismo dia</t>
  </si>
  <si>
    <t>Confirmar reserva 2 por frontend</t>
  </si>
  <si>
    <t>Reserva confirmada</t>
  </si>
  <si>
    <t>Confirmar reserva 3 por frontend</t>
  </si>
  <si>
    <t>{"id":4,"rutPaciente":"21.111.111-1","especialidad":"MEDICINA_GENERAL","fechaHoraAtencion":"2026-10-13T10:00:00","canal":"WEB","estado":"BORRADOR","arancelBruto":25000,"copago":2500,"multa":0,"modificaciones":0}</t>
  </si>
  <si>
    <t>curl -s -X POST $B/api/reservas $H -d '{"rutPaciente":"21.111.111-1","especialidad":"MEDICINA_GENERAL","fechaHoraAtencion":"2026-10-14T10:00:00","canal":"WEB","aceptaListaEspera":false}'</t>
  </si>
  <si>
    <t>{"id":5,"rutPaciente":"21.111.111-1","especialidad":"MEDICINA_GENERAL","fechaHoraAtencion":"2026-10-14T10:00:00","canal":"WEB","estado":"BORRADOR","arancelBruto":25000,"copago":2500,"multa":0,"modificaciones":0}</t>
  </si>
  <si>
    <t>Paciente tiene 4 reservas activas</t>
  </si>
  <si>
    <t>curl -s -X PATCH $B/api/reservas/5 $H -d '{"fechaHoraAtencion":"2026-10-14T10:00:00"}'</t>
  </si>
  <si>
    <t>{"codigo":"RES-CUPO","mensaje":"El bloque solicitado ya no tiene cupo.","estado":409,"ruta":"/api/reservas/5","instante":"2026-10-07T21:27:52.907495"}</t>
  </si>
  <si>
    <t>curl -s -X PATCH $B/api/reservas/3 $H -d '{"fechaHoraAtencion":"2026-10-15T10:00:00"}'</t>
  </si>
  <si>
    <t>{"id":3,"rutPaciente":"21.111.111-1","especialidad":"MEDICINA_GENERAL","fechaHoraAtencion":"2026-10-15T10:00:00","canal":"WEB","estado":"CONFIRMADA","arancelBruto":25000,"copago":2500,"multa":0,"modificaciones":2}</t>
  </si>
  <si>
    <t>En estado CONFIRMADO se comporta igual</t>
  </si>
  <si>
    <t>Reserva 4 movida a Confirmada -&gt; En curso en frontend</t>
  </si>
  <si>
    <t>curl -s -X PATCH $B/api/reservas/4 $H -d '{"fechaHoraAtencion":"2026-10-16T10:00:00"}'</t>
  </si>
  <si>
    <t>{"codigo":"RES-09-ESTADO","mensaje":"Solo se puede modificar una reserva en BORRADOR o CONFIRMADA.","estado":409,"ruta":"/api/reservas/4","instante":"2026-10-07T21:31:35.487305"}</t>
  </si>
  <si>
    <t>Eso no está indicado en RES-09</t>
  </si>
  <si>
    <t>Reserva 4 marcada atendida en frontend</t>
  </si>
  <si>
    <t>{"codigo":"RES-09-ESTADO","mensaje":"Solo se puede modificar una reserva en BORRADOR o CONFIRMADA.","estado":409,"ruta":"/api/reservas/4","instante":"2026-10-07T21:32:50.9456729"}</t>
  </si>
  <si>
    <t>curl -s -X POST $B/api/pacientes $H -d '{"rut":"32.111.111-1","nombre":"Prueba Dos","fechaNacimiento":"1990-05-10","prevision":"FONASA","tramoFonasa":"B","convenioEmpresa":false}'</t>
  </si>
  <si>
    <t>{"rut":"32.111.111-1","nombre":"Prueba Dos","fechaNacimiento":"1990-05-10","prevision":"FONASA","tramoFonasa":"B","convenioEmpresa":false}</t>
  </si>
  <si>
    <t>curl -s -X POST $B/api/reservas $H -d '{"rutPaciente":"32.111.111-1","especialidad":"MEDICINA_GENERAL","fechaHoraAtencion":"2026-10-15T10:00:00","canal":"WEB","aceptaListaEspera":true}'</t>
  </si>
  <si>
    <t>{"id":6,"rutPaciente":"32.111.111-1","especialidad":"MEDICINA_GENERAL","fechaHoraAtencion":"2026-10-15T10:00:00","canal":"WEB","estado":"EN_ESPERA","arancelBruto":25000,"copago":2500,"multa":0,"modificaciones":0}</t>
  </si>
  <si>
    <t>curl -s -X PATCH $B/api/reservas/6 $H -d '{"fechaHoraAtencion":"2026-10-16T10:00:00"}'</t>
  </si>
  <si>
    <t>{"codigo":"RES-09-ESTADO","mensaje":"Solo se puede modificar una reserva en BORRADOR o CONFIRMADA.","estado":409,"ruta":"/api/reservas/6","instante":"2026-10-07T21:36:43.6459818"}</t>
  </si>
  <si>
    <t>Reserva 3 anulada en frontend</t>
  </si>
  <si>
    <t>Anulada correctamente, reserva 6 pasa a "confirmada"</t>
  </si>
  <si>
    <t>curl -s -X POST $B/api/reservas $H -d '{"rutPaciente":"21.111.111-1","especialidad":"MEDICINA_GENERAL","fechaHoraAtencion":"2026-10-15T10:00:00","canal":"WEB","aceptaListaEspera":true}'</t>
  </si>
  <si>
    <t>{"id":7,"rutPaciente":"21.111.111-1","especialidad":"MEDICINA_GENERAL","fechaHoraAtencion":"2026-10-15T10:00:00","canal":"WEB","estado":"EN_ESPERA","arancelBruto":25000,"copago":2500,"multa":0,"modificaciones":0}</t>
  </si>
  <si>
    <t>{"id":6,"rutPaciente":"32.111.111-1","especialidad":"MEDICINA_GENERAL","fechaHoraAtencion":"2026-10-16T10:00:00","canal":"WEB","estado":"CONFIRMADA","arancelBruto":25000,"copago":2500,"multa":0,"modificaciones":1}</t>
  </si>
  <si>
    <t>Reserva 7 sigue en espera</t>
  </si>
  <si>
    <t>Anotando hallazgos</t>
  </si>
  <si>
    <t>Finalizando esta tabla</t>
  </si>
  <si>
    <t>Fuera de sesión</t>
  </si>
  <si>
    <t>Conclusión del trabajo</t>
  </si>
  <si>
    <t>%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</si>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</sst>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19" xfId="0" applyAlignment="1" applyFont="1" applyNumberFormat="1">
      <alignment readingOrder="0"/>
    </xf>
    <xf borderId="0" fillId="0" fontId="1" numFmtId="0" xfId="0" applyAlignment="1" applyFont="1">
      <alignment shrinkToFit="0" wrapText="0"/>
    </xf>
    <xf borderId="0" fillId="0" fontId="1" numFmtId="4" xfId="0" applyFont="1" applyNumberFormat="1"/>
    <xf borderId="0" fillId="0" fontId="1" numFmtId="19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  <col customWidth="1" min="5" max="5" width="40.63"/>
  </cols>
  <sheetData>
    <row r="1">
      <c r="A1" s="1" t="s">
        <v>1</v>
      </c>
      <c r="B1" s="1" t="s">
        <v>9</v>
      </c>
      <c r="C1" s="1" t="s">
        <v>10</v>
      </c>
      <c r="D1" s="2" t="s">
        <v>14</v>
      </c>
      <c r="E1" s="1" t="s">
        <v>16</v>
      </c>
      <c r="F1" s="1" t="s">
        <v>17</v>
      </c>
    </row>
    <row r="2">
      <c r="A2" s="3">
        <v>0.875</v>
      </c>
      <c r="B2" s="1" t="s">
        <v>18</v>
      </c>
      <c r="D2" s="4"/>
      <c r="E2" s="1" t="s">
        <v>19</v>
      </c>
      <c r="F2" s="5">
        <f t="shared" ref="F2:F39" si="1">IF(A3="","",ROUND((A3-A2)*1440,2))</f>
        <v>5.02</v>
      </c>
    </row>
    <row r="3">
      <c r="A3" s="6">
        <v>0.8784846296330215</v>
      </c>
      <c r="B3" s="1" t="s">
        <v>18</v>
      </c>
      <c r="D3" s="4"/>
      <c r="E3" s="1" t="s">
        <v>20</v>
      </c>
      <c r="F3" s="5">
        <f t="shared" si="1"/>
        <v>2.69</v>
      </c>
    </row>
    <row r="4">
      <c r="A4" s="6">
        <v>0.8803555555568892</v>
      </c>
      <c r="B4" s="1" t="s">
        <v>21</v>
      </c>
      <c r="C4" s="1" t="s">
        <v>22</v>
      </c>
      <c r="D4" s="2" t="s">
        <v>23</v>
      </c>
      <c r="F4" s="5">
        <f t="shared" si="1"/>
        <v>1.21</v>
      </c>
    </row>
    <row r="5">
      <c r="A5" s="6">
        <v>0.8811973611154826</v>
      </c>
      <c r="B5" s="1" t="s">
        <v>21</v>
      </c>
      <c r="C5" s="1" t="s">
        <v>24</v>
      </c>
      <c r="D5" s="2" t="s">
        <v>25</v>
      </c>
      <c r="F5" s="5">
        <f t="shared" si="1"/>
        <v>1.1</v>
      </c>
    </row>
    <row r="6">
      <c r="A6" s="6">
        <v>0.8819605902826879</v>
      </c>
      <c r="B6" s="1" t="s">
        <v>21</v>
      </c>
      <c r="C6" s="1" t="s">
        <v>26</v>
      </c>
      <c r="D6" s="2" t="s">
        <v>27</v>
      </c>
      <c r="F6" s="5">
        <f t="shared" si="1"/>
        <v>0.73</v>
      </c>
    </row>
    <row r="7">
      <c r="A7" s="6">
        <v>0.8824697337986436</v>
      </c>
      <c r="B7" s="1" t="s">
        <v>21</v>
      </c>
      <c r="D7" s="4"/>
      <c r="E7" s="1" t="s">
        <v>28</v>
      </c>
      <c r="F7" s="5">
        <f t="shared" si="1"/>
        <v>0.61</v>
      </c>
    </row>
    <row r="8">
      <c r="A8" s="6">
        <v>0.882892499997979</v>
      </c>
      <c r="B8" s="1" t="s">
        <v>21</v>
      </c>
      <c r="C8" s="1" t="s">
        <v>29</v>
      </c>
      <c r="D8" s="2" t="s">
        <v>30</v>
      </c>
      <c r="E8" s="1" t="s">
        <v>31</v>
      </c>
      <c r="F8" s="5">
        <f t="shared" si="1"/>
        <v>2.38</v>
      </c>
    </row>
    <row r="9">
      <c r="A9" s="6">
        <v>0.8845473842593492</v>
      </c>
      <c r="B9" s="1" t="s">
        <v>32</v>
      </c>
      <c r="C9" s="1" t="s">
        <v>33</v>
      </c>
      <c r="D9" s="2" t="s">
        <v>34</v>
      </c>
      <c r="E9" s="1" t="s">
        <v>35</v>
      </c>
      <c r="F9" s="5">
        <f t="shared" si="1"/>
        <v>0.73</v>
      </c>
    </row>
    <row r="10">
      <c r="A10" s="6">
        <v>0.8850528240727726</v>
      </c>
      <c r="B10" s="1" t="s">
        <v>32</v>
      </c>
      <c r="C10" s="1" t="s">
        <v>36</v>
      </c>
      <c r="D10" s="2" t="s">
        <v>37</v>
      </c>
      <c r="F10" s="5">
        <f t="shared" si="1"/>
        <v>0.38</v>
      </c>
    </row>
    <row r="11">
      <c r="A11" s="6">
        <v>0.8853150925933733</v>
      </c>
      <c r="B11" s="1" t="s">
        <v>32</v>
      </c>
      <c r="C11" s="1" t="s">
        <v>38</v>
      </c>
      <c r="D11" s="2" t="s">
        <v>39</v>
      </c>
      <c r="E11" s="1" t="s">
        <v>40</v>
      </c>
      <c r="F11" s="5">
        <f t="shared" si="1"/>
        <v>1.1</v>
      </c>
    </row>
    <row r="12">
      <c r="A12" s="6">
        <v>0.8860776851797709</v>
      </c>
      <c r="B12" s="1" t="s">
        <v>21</v>
      </c>
      <c r="C12" s="1" t="s">
        <v>41</v>
      </c>
      <c r="D12" s="2" t="s">
        <v>42</v>
      </c>
      <c r="F12" s="5">
        <f t="shared" si="1"/>
        <v>0.49</v>
      </c>
    </row>
    <row r="13">
      <c r="A13" s="6">
        <v>0.8864153935137438</v>
      </c>
      <c r="B13" s="1" t="s">
        <v>21</v>
      </c>
      <c r="C13" s="1" t="s">
        <v>43</v>
      </c>
      <c r="D13" s="2" t="s">
        <v>44</v>
      </c>
      <c r="E13" s="1" t="s">
        <v>45</v>
      </c>
      <c r="F13" s="5">
        <f t="shared" si="1"/>
        <v>0.8</v>
      </c>
    </row>
    <row r="14">
      <c r="A14" s="6">
        <v>0.8869733333340264</v>
      </c>
      <c r="B14" s="1" t="s">
        <v>21</v>
      </c>
      <c r="C14" s="1" t="s">
        <v>46</v>
      </c>
      <c r="D14" s="2" t="s">
        <v>47</v>
      </c>
      <c r="E14" s="1" t="s">
        <v>48</v>
      </c>
      <c r="F14" s="5">
        <f t="shared" si="1"/>
        <v>1.4</v>
      </c>
    </row>
    <row r="15">
      <c r="A15" s="6">
        <v>0.8879427546344232</v>
      </c>
      <c r="B15" s="1" t="s">
        <v>21</v>
      </c>
      <c r="C15" s="1" t="s">
        <v>49</v>
      </c>
      <c r="D15" s="2" t="s">
        <v>50</v>
      </c>
      <c r="F15" s="5">
        <f t="shared" si="1"/>
        <v>0.37</v>
      </c>
    </row>
    <row r="16">
      <c r="A16" s="6">
        <v>0.8881995138872298</v>
      </c>
      <c r="B16" s="1" t="s">
        <v>21</v>
      </c>
      <c r="C16" s="1" t="s">
        <v>24</v>
      </c>
      <c r="D16" s="2" t="s">
        <v>51</v>
      </c>
      <c r="F16" s="5">
        <f t="shared" si="1"/>
        <v>0.55</v>
      </c>
    </row>
    <row r="17">
      <c r="A17" s="6">
        <v>0.8885819560236996</v>
      </c>
      <c r="B17" s="1" t="s">
        <v>21</v>
      </c>
      <c r="C17" s="1" t="s">
        <v>52</v>
      </c>
      <c r="D17" s="2" t="s">
        <v>53</v>
      </c>
      <c r="F17" s="5">
        <f t="shared" si="1"/>
        <v>1.02</v>
      </c>
    </row>
    <row r="18">
      <c r="A18" s="6">
        <v>0.8892933564784471</v>
      </c>
      <c r="B18" s="1" t="s">
        <v>21</v>
      </c>
      <c r="C18" s="1" t="s">
        <v>54</v>
      </c>
      <c r="D18" s="2" t="s">
        <v>55</v>
      </c>
      <c r="F18" s="5">
        <f t="shared" si="1"/>
        <v>1.36</v>
      </c>
    </row>
    <row r="19">
      <c r="A19" s="6">
        <v>0.8902346643517376</v>
      </c>
      <c r="B19" s="1" t="s">
        <v>21</v>
      </c>
      <c r="C19" s="1" t="s">
        <v>56</v>
      </c>
      <c r="D19" s="2" t="s">
        <v>57</v>
      </c>
      <c r="F19" s="5">
        <f t="shared" si="1"/>
        <v>0.8</v>
      </c>
    </row>
    <row r="20">
      <c r="A20" s="6">
        <v>0.890792719903402</v>
      </c>
      <c r="B20" s="1" t="s">
        <v>21</v>
      </c>
      <c r="C20" s="1" t="s">
        <v>24</v>
      </c>
      <c r="D20" s="2" t="s">
        <v>58</v>
      </c>
      <c r="F20" s="5">
        <f t="shared" si="1"/>
        <v>0.52</v>
      </c>
    </row>
    <row r="21">
      <c r="A21" s="6">
        <v>0.8911537962994771</v>
      </c>
      <c r="B21" s="1" t="s">
        <v>21</v>
      </c>
      <c r="C21" s="1" t="s">
        <v>59</v>
      </c>
      <c r="D21" s="2" t="s">
        <v>60</v>
      </c>
      <c r="E21" s="1" t="s">
        <v>61</v>
      </c>
      <c r="F21" s="5">
        <f t="shared" si="1"/>
        <v>1.51</v>
      </c>
    </row>
    <row r="22">
      <c r="A22" s="6">
        <v>0.8922011805552756</v>
      </c>
      <c r="B22" s="1" t="s">
        <v>21</v>
      </c>
      <c r="C22" s="1" t="s">
        <v>62</v>
      </c>
      <c r="D22" s="2" t="s">
        <v>63</v>
      </c>
      <c r="F22" s="5">
        <f t="shared" si="1"/>
        <v>0.3</v>
      </c>
    </row>
    <row r="23">
      <c r="A23" s="6">
        <v>0.8924077083356678</v>
      </c>
      <c r="B23" s="1" t="s">
        <v>21</v>
      </c>
      <c r="C23" s="1" t="s">
        <v>64</v>
      </c>
      <c r="D23" s="2" t="s">
        <v>63</v>
      </c>
      <c r="F23" s="5">
        <f t="shared" si="1"/>
        <v>1.26</v>
      </c>
    </row>
    <row r="24">
      <c r="A24" s="6">
        <v>0.8932813310238998</v>
      </c>
      <c r="B24" s="1" t="s">
        <v>21</v>
      </c>
      <c r="C24" s="1" t="s">
        <v>24</v>
      </c>
      <c r="D24" s="2" t="s">
        <v>65</v>
      </c>
      <c r="F24" s="5">
        <f t="shared" si="1"/>
        <v>0.97</v>
      </c>
    </row>
    <row r="25">
      <c r="A25" s="6">
        <v>0.8939521643478656</v>
      </c>
      <c r="B25" s="1" t="s">
        <v>21</v>
      </c>
      <c r="C25" s="1" t="s">
        <v>66</v>
      </c>
      <c r="D25" s="2" t="s">
        <v>67</v>
      </c>
      <c r="E25" s="1" t="s">
        <v>68</v>
      </c>
      <c r="F25" s="5">
        <f t="shared" si="1"/>
        <v>0.66</v>
      </c>
    </row>
    <row r="26">
      <c r="A26" s="6">
        <v>0.8944137847211096</v>
      </c>
      <c r="B26" s="1" t="s">
        <v>21</v>
      </c>
      <c r="C26" s="1" t="s">
        <v>69</v>
      </c>
      <c r="D26" s="2" t="s">
        <v>70</v>
      </c>
      <c r="F26" s="5">
        <f t="shared" si="1"/>
        <v>1.98</v>
      </c>
    </row>
    <row r="27">
      <c r="A27" s="6">
        <v>0.8957856481429189</v>
      </c>
      <c r="B27" s="1" t="s">
        <v>21</v>
      </c>
      <c r="C27" s="1" t="s">
        <v>71</v>
      </c>
      <c r="D27" s="2" t="s">
        <v>72</v>
      </c>
      <c r="E27" s="1" t="s">
        <v>73</v>
      </c>
      <c r="F27" s="5">
        <f t="shared" si="1"/>
        <v>0.93</v>
      </c>
    </row>
    <row r="28">
      <c r="A28" s="6">
        <v>0.8964326851855731</v>
      </c>
      <c r="B28" s="1" t="s">
        <v>21</v>
      </c>
      <c r="C28" s="1" t="s">
        <v>74</v>
      </c>
      <c r="D28" s="4"/>
      <c r="F28" s="5">
        <f t="shared" si="1"/>
        <v>0.85</v>
      </c>
    </row>
    <row r="29">
      <c r="A29" s="6">
        <v>0.897020266202162</v>
      </c>
      <c r="B29" s="1" t="s">
        <v>21</v>
      </c>
      <c r="C29" s="1" t="s">
        <v>75</v>
      </c>
      <c r="D29" s="2" t="s">
        <v>76</v>
      </c>
      <c r="E29" s="1" t="s">
        <v>77</v>
      </c>
      <c r="F29" s="5">
        <f t="shared" si="1"/>
        <v>0.98</v>
      </c>
    </row>
    <row r="30">
      <c r="A30" s="6">
        <v>0.8977009837981313</v>
      </c>
      <c r="B30" s="1" t="s">
        <v>32</v>
      </c>
      <c r="C30" s="1" t="s">
        <v>78</v>
      </c>
      <c r="D30" s="4"/>
      <c r="F30" s="5">
        <f t="shared" si="1"/>
        <v>0.09</v>
      </c>
    </row>
    <row r="31">
      <c r="A31" s="6">
        <v>0.8977606828702847</v>
      </c>
      <c r="B31" s="1" t="s">
        <v>32</v>
      </c>
      <c r="C31" s="1" t="s">
        <v>75</v>
      </c>
      <c r="D31" s="2" t="s">
        <v>79</v>
      </c>
      <c r="E31" s="1" t="s">
        <v>77</v>
      </c>
      <c r="F31" s="5">
        <f t="shared" si="1"/>
        <v>2.04</v>
      </c>
    </row>
    <row r="32">
      <c r="A32" s="6">
        <v>0.8991802546297549</v>
      </c>
      <c r="B32" s="1" t="s">
        <v>21</v>
      </c>
      <c r="C32" s="1" t="s">
        <v>80</v>
      </c>
      <c r="D32" s="2" t="s">
        <v>81</v>
      </c>
      <c r="F32" s="5">
        <f t="shared" si="1"/>
        <v>1.55</v>
      </c>
    </row>
    <row r="33">
      <c r="A33" s="6">
        <v>0.9002575694466941</v>
      </c>
      <c r="B33" s="1" t="s">
        <v>21</v>
      </c>
      <c r="C33" s="1" t="s">
        <v>82</v>
      </c>
      <c r="D33" s="2" t="s">
        <v>83</v>
      </c>
      <c r="F33" s="5">
        <f t="shared" si="1"/>
        <v>0.45</v>
      </c>
    </row>
    <row r="34">
      <c r="A34" s="6">
        <v>0.9005726157411118</v>
      </c>
      <c r="B34" s="1" t="s">
        <v>21</v>
      </c>
      <c r="C34" s="1" t="s">
        <v>84</v>
      </c>
      <c r="D34" s="2" t="s">
        <v>85</v>
      </c>
      <c r="E34" s="1" t="s">
        <v>77</v>
      </c>
      <c r="F34" s="5">
        <f t="shared" si="1"/>
        <v>0.89</v>
      </c>
    </row>
    <row r="35">
      <c r="A35" s="6">
        <v>0.9011888078675838</v>
      </c>
      <c r="B35" s="1" t="s">
        <v>21</v>
      </c>
      <c r="C35" s="1" t="s">
        <v>86</v>
      </c>
      <c r="D35" s="2" t="s">
        <v>87</v>
      </c>
      <c r="F35" s="5">
        <f t="shared" si="1"/>
        <v>0.79</v>
      </c>
    </row>
    <row r="36">
      <c r="A36" s="6">
        <v>0.9017373958340613</v>
      </c>
      <c r="B36" s="1" t="s">
        <v>21</v>
      </c>
      <c r="C36" s="1" t="s">
        <v>88</v>
      </c>
      <c r="D36" s="2" t="s">
        <v>89</v>
      </c>
      <c r="F36" s="5">
        <f t="shared" si="1"/>
        <v>0.79</v>
      </c>
    </row>
    <row r="37">
      <c r="A37" s="6">
        <v>0.902283032410196</v>
      </c>
      <c r="B37" s="1" t="s">
        <v>21</v>
      </c>
      <c r="C37" s="1" t="s">
        <v>84</v>
      </c>
      <c r="D37" s="2" t="s">
        <v>90</v>
      </c>
      <c r="E37" s="1" t="s">
        <v>91</v>
      </c>
      <c r="F37" s="5">
        <f t="shared" si="1"/>
        <v>8.62</v>
      </c>
    </row>
    <row r="38">
      <c r="A38" s="6">
        <v>0.9082657986145932</v>
      </c>
      <c r="B38" s="1" t="s">
        <v>32</v>
      </c>
      <c r="C38" s="1" t="s">
        <v>92</v>
      </c>
      <c r="D38" s="4"/>
      <c r="F38" s="5">
        <f t="shared" si="1"/>
        <v>3.48</v>
      </c>
    </row>
    <row r="39">
      <c r="A39" s="6">
        <v>0.9106858217564877</v>
      </c>
      <c r="B39" s="1" t="s">
        <v>32</v>
      </c>
      <c r="C39" s="1" t="s">
        <v>93</v>
      </c>
      <c r="D39" s="4"/>
      <c r="F39" s="5">
        <f t="shared" si="1"/>
        <v>9.84</v>
      </c>
    </row>
    <row r="40">
      <c r="A40" s="6">
        <v>0.917518831018242</v>
      </c>
      <c r="B40" s="1" t="s">
        <v>94</v>
      </c>
      <c r="C40" s="1" t="s">
        <v>95</v>
      </c>
      <c r="D40" s="4"/>
      <c r="F40" s="1" t="s">
        <v>17</v>
      </c>
      <c r="G40" s="1" t="s">
        <v>96</v>
      </c>
    </row>
    <row r="41">
      <c r="D41" s="4"/>
      <c r="E41" s="1" t="s">
        <v>18</v>
      </c>
      <c r="F41" s="7">
        <f>SUMIF(B:B,"Setup",F:F)</f>
        <v>7.71</v>
      </c>
      <c r="G41" s="8">
        <f t="shared" ref="G41:G44" si="2">(F41/$F$44)</f>
        <v>0.1258981058</v>
      </c>
    </row>
    <row r="42">
      <c r="D42" s="4"/>
      <c r="E42" s="1" t="s">
        <v>21</v>
      </c>
      <c r="F42" s="7">
        <f>SUMIF(B:B,"Ejecucion",F:F)</f>
        <v>35.87</v>
      </c>
      <c r="G42" s="8">
        <f t="shared" si="2"/>
        <v>0.5857282822</v>
      </c>
    </row>
    <row r="43">
      <c r="D43" s="4"/>
      <c r="E43" s="1" t="s">
        <v>32</v>
      </c>
      <c r="F43" s="7">
        <f>SUMIF(B:B,"Investigacion",F:F)</f>
        <v>17.66</v>
      </c>
      <c r="G43" s="8">
        <f t="shared" si="2"/>
        <v>0.288373612</v>
      </c>
    </row>
    <row r="44">
      <c r="D44" s="4"/>
      <c r="E44" s="1" t="s">
        <v>97</v>
      </c>
      <c r="F44" s="7">
        <f>SUM(F41:F43)</f>
        <v>61.24</v>
      </c>
      <c r="G44" s="8">
        <f t="shared" si="2"/>
        <v>1</v>
      </c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  <row r="5">
      <c r="A5" s="1" t="s">
        <v>11</v>
      </c>
      <c r="B5" s="1" t="s">
        <v>12</v>
      </c>
    </row>
    <row r="6">
      <c r="A6" s="1" t="s">
        <v>13</v>
      </c>
      <c r="B6" s="1" t="s">
        <v>15</v>
      </c>
    </row>
  </sheetData>
  <drawing r:id="rId1"/>
</worksheet>
</file>